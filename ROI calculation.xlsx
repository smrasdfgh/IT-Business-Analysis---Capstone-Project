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mfira.karimova\Desktop\ABBTech\final\"/>
    </mc:Choice>
  </mc:AlternateContent>
  <xr:revisionPtr revIDLastSave="0" documentId="13_ncr:1_{F4704C0D-2FB3-45E3-A960-ACED15D1E3A3}" xr6:coauthVersionLast="47" xr6:coauthVersionMax="47" xr10:uidLastSave="{00000000-0000-0000-0000-000000000000}"/>
  <bookViews>
    <workbookView xWindow="-108" yWindow="-108" windowWidth="23256" windowHeight="12576" activeTab="2" xr2:uid="{DB0FB676-286D-4499-829D-99F749A09720}"/>
  </bookViews>
  <sheets>
    <sheet name="expense" sheetId="5" r:id="rId1"/>
    <sheet name="revenue" sheetId="4" r:id="rId2"/>
    <sheet name="tota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3" l="1"/>
  <c r="D2" i="3"/>
  <c r="D3" i="3" s="1"/>
  <c r="D4" i="3" s="1"/>
  <c r="D5" i="3" s="1"/>
  <c r="D6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J10" i="5"/>
  <c r="J11" i="5"/>
  <c r="J12" i="5"/>
  <c r="O12" i="5" s="1"/>
  <c r="J13" i="5"/>
  <c r="J14" i="5"/>
  <c r="O14" i="5" s="1"/>
  <c r="J15" i="5"/>
  <c r="O15" i="5" s="1"/>
  <c r="J16" i="5"/>
  <c r="O16" i="5" s="1"/>
  <c r="J17" i="5"/>
  <c r="O17" i="5" s="1"/>
  <c r="J18" i="5"/>
  <c r="O18" i="5" s="1"/>
  <c r="J19" i="5"/>
  <c r="J20" i="5"/>
  <c r="O20" i="5" s="1"/>
  <c r="J21" i="5"/>
  <c r="J22" i="5"/>
  <c r="J23" i="5"/>
  <c r="O23" i="5" s="1"/>
  <c r="J24" i="5"/>
  <c r="J25" i="5"/>
  <c r="J26" i="5"/>
  <c r="J9" i="5"/>
  <c r="O9" i="5" s="1"/>
  <c r="O26" i="5"/>
  <c r="O25" i="5"/>
  <c r="O24" i="5"/>
  <c r="O22" i="5"/>
  <c r="O21" i="5"/>
  <c r="O19" i="5"/>
  <c r="N15" i="5"/>
  <c r="M15" i="5"/>
  <c r="L15" i="5"/>
  <c r="K15" i="5"/>
  <c r="O13" i="5"/>
  <c r="O11" i="5"/>
  <c r="O10" i="5"/>
  <c r="O8" i="5"/>
  <c r="O7" i="5"/>
  <c r="O6" i="5"/>
  <c r="O5" i="5"/>
  <c r="O4" i="5"/>
  <c r="O3" i="5"/>
  <c r="J20" i="4"/>
  <c r="H20" i="4"/>
  <c r="J19" i="4"/>
  <c r="H19" i="4"/>
  <c r="J18" i="4"/>
  <c r="H18" i="4"/>
  <c r="J17" i="4"/>
  <c r="H17" i="4"/>
  <c r="J16" i="4"/>
  <c r="H16" i="4"/>
  <c r="J15" i="4"/>
  <c r="H15" i="4"/>
  <c r="J14" i="4"/>
  <c r="H14" i="4"/>
  <c r="J13" i="4"/>
  <c r="H13" i="4"/>
  <c r="J12" i="4"/>
  <c r="H12" i="4"/>
  <c r="J11" i="4"/>
  <c r="H11" i="4"/>
  <c r="J10" i="4"/>
  <c r="H10" i="4"/>
  <c r="J9" i="4"/>
  <c r="H9" i="4"/>
  <c r="J8" i="4"/>
  <c r="H8" i="4"/>
  <c r="E8" i="4"/>
  <c r="M8" i="4" s="1"/>
  <c r="J7" i="4"/>
  <c r="H7" i="4"/>
  <c r="E7" i="4"/>
  <c r="M7" i="4" s="1"/>
  <c r="J6" i="4"/>
  <c r="M6" i="4" s="1"/>
  <c r="H6" i="4"/>
  <c r="E6" i="4"/>
  <c r="J5" i="4"/>
  <c r="H5" i="4"/>
  <c r="E5" i="4"/>
  <c r="M5" i="4" s="1"/>
  <c r="C5" i="4"/>
  <c r="C6" i="4" s="1"/>
  <c r="C7" i="4" s="1"/>
  <c r="C8" i="4" s="1"/>
  <c r="C9" i="4" s="1"/>
  <c r="J4" i="4"/>
  <c r="H4" i="4"/>
  <c r="E4" i="4"/>
  <c r="M4" i="4" s="1"/>
  <c r="C4" i="4"/>
  <c r="J3" i="4"/>
  <c r="H3" i="4"/>
  <c r="E3" i="4"/>
  <c r="M3" i="4" s="1"/>
  <c r="C3" i="4"/>
  <c r="D3" i="5"/>
  <c r="D6" i="5"/>
  <c r="D14" i="5"/>
  <c r="D19" i="5"/>
  <c r="D25" i="5"/>
  <c r="C10" i="4" l="1"/>
  <c r="D9" i="4"/>
  <c r="E9" i="4" s="1"/>
  <c r="M9" i="4" s="1"/>
  <c r="D10" i="4" l="1"/>
  <c r="E10" i="4" s="1"/>
  <c r="M10" i="4" s="1"/>
  <c r="C11" i="4"/>
  <c r="C12" i="4" l="1"/>
  <c r="D11" i="4"/>
  <c r="E11" i="4" s="1"/>
  <c r="M11" i="4" s="1"/>
  <c r="D12" i="4" l="1"/>
  <c r="E12" i="4" s="1"/>
  <c r="M12" i="4" s="1"/>
  <c r="C13" i="4"/>
  <c r="C14" i="4" l="1"/>
  <c r="D13" i="4"/>
  <c r="E13" i="4" s="1"/>
  <c r="M13" i="4" s="1"/>
  <c r="D14" i="4" l="1"/>
  <c r="E14" i="4" s="1"/>
  <c r="M14" i="4" s="1"/>
  <c r="C15" i="4"/>
  <c r="C16" i="4" l="1"/>
  <c r="D15" i="4"/>
  <c r="E15" i="4" s="1"/>
  <c r="M15" i="4" s="1"/>
  <c r="D16" i="4" l="1"/>
  <c r="E16" i="4" s="1"/>
  <c r="M16" i="4" s="1"/>
  <c r="C17" i="4"/>
  <c r="D17" i="4" l="1"/>
  <c r="E17" i="4" s="1"/>
  <c r="M17" i="4" s="1"/>
  <c r="C18" i="4"/>
  <c r="D18" i="4" l="1"/>
  <c r="E18" i="4" s="1"/>
  <c r="M18" i="4" s="1"/>
  <c r="C19" i="4"/>
  <c r="C20" i="4" l="1"/>
  <c r="D20" i="4" s="1"/>
  <c r="E20" i="4" s="1"/>
  <c r="M20" i="4" s="1"/>
  <c r="D19" i="4"/>
  <c r="E19" i="4" s="1"/>
  <c r="M19" i="4" s="1"/>
</calcChain>
</file>

<file path=xl/sharedStrings.xml><?xml version="1.0" encoding="utf-8"?>
<sst xmlns="http://schemas.openxmlformats.org/spreadsheetml/2006/main" count="67" uniqueCount="48">
  <si>
    <t>Development Costs</t>
  </si>
  <si>
    <t>Miscellaneous Costs</t>
  </si>
  <si>
    <t>Category</t>
  </si>
  <si>
    <t>Monthly cost</t>
  </si>
  <si>
    <t>Month</t>
  </si>
  <si>
    <t>Revenue</t>
  </si>
  <si>
    <t>Expenses</t>
  </si>
  <si>
    <t>Budget</t>
  </si>
  <si>
    <t>Position</t>
  </si>
  <si>
    <t>Frontend dev</t>
  </si>
  <si>
    <t>Backend dev</t>
  </si>
  <si>
    <t>UI/UX designer</t>
  </si>
  <si>
    <t>Monthly Expenses till mvp</t>
  </si>
  <si>
    <t>Total</t>
  </si>
  <si>
    <t>Server/Hosting</t>
  </si>
  <si>
    <t>Web Hosting</t>
  </si>
  <si>
    <t>Database Hosting</t>
  </si>
  <si>
    <t>Storage</t>
  </si>
  <si>
    <t>Security &amp; Backup</t>
  </si>
  <si>
    <t>Monthly Expenses after mvp</t>
  </si>
  <si>
    <t>Customer support</t>
  </si>
  <si>
    <t>Marketing specialist</t>
  </si>
  <si>
    <t>Digital Ads(Instagram,Facebook,Youtube)</t>
  </si>
  <si>
    <t>Ads</t>
  </si>
  <si>
    <t>Tools &amp; Software</t>
  </si>
  <si>
    <t>Intercom(messaging platform)</t>
  </si>
  <si>
    <t>Google Analytics</t>
  </si>
  <si>
    <t>HubSpot(social media management tool)</t>
  </si>
  <si>
    <t>month</t>
  </si>
  <si>
    <t>total</t>
  </si>
  <si>
    <t>Monthly Expenses after 1st year +10%</t>
  </si>
  <si>
    <t>subscriptions_monthly</t>
  </si>
  <si>
    <t>subscriptions_total</t>
  </si>
  <si>
    <t>premium users</t>
  </si>
  <si>
    <t>revenue subsc.</t>
  </si>
  <si>
    <t>ad order</t>
  </si>
  <si>
    <t>fee for ad</t>
  </si>
  <si>
    <t>revenue ads</t>
  </si>
  <si>
    <t>ordered user num</t>
  </si>
  <si>
    <t>revenue referral</t>
  </si>
  <si>
    <t>revenue analytics</t>
  </si>
  <si>
    <t>Expense</t>
  </si>
  <si>
    <t>development</t>
  </si>
  <si>
    <t>interaction</t>
  </si>
  <si>
    <t>sms (otp)</t>
  </si>
  <si>
    <t>ASAN şəxsi</t>
  </si>
  <si>
    <t>ASAN iş</t>
  </si>
  <si>
    <t>initial 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</si>
</sst>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* #,##0.00\ [$₼-42C]_-;\-* #,##0.00\ [$₼-42C]_-;_-* &quot;-&quot;??\ [$₼-42C]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404040"/>
      <name val="Segoe U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theme="5" tint="0.39997558519241921"/>
      </left>
      <right style="thin">
        <color theme="5" tint="0.39997558519241921"/>
      </right>
      <top style="thin">
        <color theme="5" tint="0.39997558519241921"/>
      </top>
      <bottom/>
      <diagonal/>
    </border>
    <border>
      <left style="thin">
        <color theme="5" tint="0.59999389629810485"/>
      </left>
      <right style="thin">
        <color theme="5" tint="0.59999389629810485"/>
      </right>
      <top style="thin">
        <color theme="5" tint="0.59999389629810485"/>
      </top>
      <bottom style="thin">
        <color theme="5" tint="0.59999389629810485"/>
      </bottom>
      <diagonal/>
    </border>
    <border>
      <left style="thin">
        <color theme="5" tint="0.39997558519241921"/>
      </left>
      <right style="thin">
        <color theme="5" tint="0.39997558519241921"/>
      </right>
      <top/>
      <bottom/>
      <diagonal/>
    </border>
    <border>
      <left style="thin">
        <color theme="5" tint="0.39997558519241921"/>
      </left>
      <right/>
      <top/>
      <bottom/>
      <diagonal/>
    </border>
    <border>
      <left style="thin">
        <color theme="5" tint="0.59999389629810485"/>
      </left>
      <right style="thin">
        <color theme="5" tint="0.59999389629810485"/>
      </right>
      <top/>
      <bottom/>
      <diagonal/>
    </border>
    <border>
      <left style="thin">
        <color theme="5" tint="0.59999389629810485"/>
      </left>
      <right style="thin">
        <color theme="5" tint="0.59999389629810485"/>
      </right>
      <top style="thin">
        <color theme="5" tint="0.59999389629810485"/>
      </top>
      <bottom/>
      <diagonal/>
    </border>
    <border>
      <left style="thin">
        <color theme="5" tint="0.59999389629810485"/>
      </left>
      <right style="thin">
        <color theme="5" tint="0.59999389629810485"/>
      </right>
      <top/>
      <bottom style="thin">
        <color theme="5" tint="0.59999389629810485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48">
    <xf numFmtId="0" fontId="0" fillId="0" borderId="0" xfId="0"/>
    <xf numFmtId="0" fontId="1" fillId="0" borderId="0" xfId="0" applyFont="1"/>
    <xf numFmtId="1" fontId="0" fillId="0" borderId="0" xfId="0" applyNumberFormat="1"/>
    <xf numFmtId="0" fontId="1" fillId="5" borderId="0" xfId="0" applyFont="1" applyFill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164" fontId="0" fillId="0" borderId="0" xfId="1" applyNumberFormat="1" applyFont="1"/>
    <xf numFmtId="0" fontId="1" fillId="5" borderId="0" xfId="0" applyNumberFormat="1" applyFont="1" applyFill="1" applyAlignment="1">
      <alignment horizontal="center"/>
    </xf>
    <xf numFmtId="0" fontId="0" fillId="0" borderId="0" xfId="1" applyNumberFormat="1" applyFont="1" applyAlignment="1">
      <alignment horizontal="center"/>
    </xf>
    <xf numFmtId="164" fontId="0" fillId="0" borderId="0" xfId="0" applyNumberFormat="1"/>
    <xf numFmtId="0" fontId="1" fillId="5" borderId="0" xfId="0" applyFont="1" applyFill="1" applyAlignment="1"/>
    <xf numFmtId="0" fontId="1" fillId="4" borderId="0" xfId="0" applyFont="1" applyFill="1" applyAlignment="1">
      <alignment horizontal="center"/>
    </xf>
    <xf numFmtId="0" fontId="1" fillId="4" borderId="0" xfId="0" applyFont="1" applyFill="1" applyAlignment="1"/>
    <xf numFmtId="0" fontId="1" fillId="4" borderId="0" xfId="0" applyFont="1" applyFill="1"/>
    <xf numFmtId="164" fontId="0" fillId="0" borderId="0" xfId="0" applyNumberFormat="1" applyAlignment="1">
      <alignment horizontal="center"/>
    </xf>
    <xf numFmtId="0" fontId="1" fillId="6" borderId="0" xfId="0" applyFont="1" applyFill="1" applyAlignment="1">
      <alignment horizontal="center"/>
    </xf>
    <xf numFmtId="0" fontId="0" fillId="6" borderId="0" xfId="0" applyFill="1"/>
    <xf numFmtId="0" fontId="0" fillId="6" borderId="0" xfId="0" applyNumberFormat="1" applyFill="1" applyAlignment="1">
      <alignment horizontal="center"/>
    </xf>
    <xf numFmtId="1" fontId="0" fillId="6" borderId="0" xfId="0" applyNumberFormat="1" applyFill="1"/>
    <xf numFmtId="164" fontId="2" fillId="0" borderId="2" xfId="0" applyNumberFormat="1" applyFont="1" applyBorder="1" applyAlignment="1">
      <alignment horizontal="center" vertical="center" wrapText="1"/>
    </xf>
    <xf numFmtId="164" fontId="2" fillId="0" borderId="2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0" fillId="5" borderId="0" xfId="0" applyFill="1"/>
    <xf numFmtId="164" fontId="0" fillId="5" borderId="0" xfId="0" applyNumberFormat="1" applyFill="1"/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center"/>
    </xf>
    <xf numFmtId="0" fontId="0" fillId="0" borderId="2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164" fontId="5" fillId="0" borderId="6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4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total!$A$1</c:f>
              <c:strCache>
                <c:ptCount val="1"/>
                <c:pt idx="0">
                  <c:v>Month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total!$A$2:$A$25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98-457D-89A6-647CD52E0530}"/>
            </c:ext>
          </c:extLst>
        </c:ser>
        <c:ser>
          <c:idx val="1"/>
          <c:order val="1"/>
          <c:tx>
            <c:strRef>
              <c:f>total!$B$1</c:f>
              <c:strCache>
                <c:ptCount val="1"/>
                <c:pt idx="0">
                  <c:v>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total!$B$2:$B$25</c:f>
              <c:numCache>
                <c:formatCode>_("$"* #,##0.00_);_("$"* \(#,##0.00\);_("$"* "-"??_);_(@_)</c:formatCode>
                <c:ptCount val="24"/>
                <c:pt idx="0">
                  <c:v>6650</c:v>
                </c:pt>
                <c:pt idx="1">
                  <c:v>6650</c:v>
                </c:pt>
                <c:pt idx="2">
                  <c:v>6650</c:v>
                </c:pt>
                <c:pt idx="3">
                  <c:v>6650</c:v>
                </c:pt>
                <c:pt idx="4">
                  <c:v>6650</c:v>
                </c:pt>
                <c:pt idx="5">
                  <c:v>6650</c:v>
                </c:pt>
                <c:pt idx="6">
                  <c:v>11370</c:v>
                </c:pt>
                <c:pt idx="7">
                  <c:v>11571.25</c:v>
                </c:pt>
                <c:pt idx="8">
                  <c:v>11622.5</c:v>
                </c:pt>
                <c:pt idx="9">
                  <c:v>11675.5</c:v>
                </c:pt>
                <c:pt idx="10">
                  <c:v>11650.5</c:v>
                </c:pt>
                <c:pt idx="11">
                  <c:v>11825.75</c:v>
                </c:pt>
                <c:pt idx="12">
                  <c:v>13184</c:v>
                </c:pt>
                <c:pt idx="13">
                  <c:v>13020.75</c:v>
                </c:pt>
                <c:pt idx="14">
                  <c:v>13311.25</c:v>
                </c:pt>
                <c:pt idx="15">
                  <c:v>13467</c:v>
                </c:pt>
                <c:pt idx="16">
                  <c:v>13686.75</c:v>
                </c:pt>
                <c:pt idx="17">
                  <c:v>13812.5</c:v>
                </c:pt>
                <c:pt idx="18">
                  <c:v>13923</c:v>
                </c:pt>
                <c:pt idx="19">
                  <c:v>14007.25</c:v>
                </c:pt>
                <c:pt idx="20">
                  <c:v>14327</c:v>
                </c:pt>
                <c:pt idx="21">
                  <c:v>14314.75</c:v>
                </c:pt>
                <c:pt idx="22">
                  <c:v>14354.25</c:v>
                </c:pt>
                <c:pt idx="23">
                  <c:v>14488.75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98-457D-89A6-647CD52E0530}"/>
            </c:ext>
          </c:extLst>
        </c:ser>
        <c:ser>
          <c:idx val="2"/>
          <c:order val="2"/>
          <c:tx>
            <c:strRef>
              <c:f>total!$C$1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total!$C$2:$C$25</c:f>
              <c:numCache>
                <c:formatCode>_("$"* #,##0.00_);_("$"* \(#,##0.00\);_("$"* "-"??_);_(@_)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1000</c:v>
                </c:pt>
                <c:pt idx="7">
                  <c:v>2000</c:v>
                </c:pt>
                <c:pt idx="8">
                  <c:v>2790</c:v>
                </c:pt>
                <c:pt idx="9">
                  <c:v>4130</c:v>
                </c:pt>
                <c:pt idx="10">
                  <c:v>4900</c:v>
                </c:pt>
                <c:pt idx="11">
                  <c:v>5100</c:v>
                </c:pt>
                <c:pt idx="12">
                  <c:v>19642.5</c:v>
                </c:pt>
                <c:pt idx="13">
                  <c:v>20501.25</c:v>
                </c:pt>
                <c:pt idx="14">
                  <c:v>23512.5</c:v>
                </c:pt>
                <c:pt idx="15">
                  <c:v>25942.5</c:v>
                </c:pt>
                <c:pt idx="16">
                  <c:v>29131.25</c:v>
                </c:pt>
                <c:pt idx="17">
                  <c:v>30970.75</c:v>
                </c:pt>
                <c:pt idx="18">
                  <c:v>33611.75</c:v>
                </c:pt>
                <c:pt idx="19">
                  <c:v>36342</c:v>
                </c:pt>
                <c:pt idx="20">
                  <c:v>38989</c:v>
                </c:pt>
                <c:pt idx="21">
                  <c:v>41177.75</c:v>
                </c:pt>
                <c:pt idx="22">
                  <c:v>43384</c:v>
                </c:pt>
                <c:pt idx="23">
                  <c:v>45762.75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98-457D-89A6-647CD52E0530}"/>
            </c:ext>
          </c:extLst>
        </c:ser>
        <c:ser>
          <c:idx val="3"/>
          <c:order val="3"/>
          <c:tx>
            <c:strRef>
              <c:f>total!$D$1</c:f>
              <c:strCache>
                <c:ptCount val="1"/>
                <c:pt idx="0">
                  <c:v>Budget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total!$D$2:$D$25</c:f>
              <c:numCache>
                <c:formatCode>_("$"* #,##0.00_);_("$"* \(#,##0.00\);_("$"* "-"??_);_(@_)</c:formatCode>
                <c:ptCount val="24"/>
                <c:pt idx="0">
                  <c:v>83350</c:v>
                </c:pt>
                <c:pt idx="1">
                  <c:v>76700</c:v>
                </c:pt>
                <c:pt idx="2">
                  <c:v>70050</c:v>
                </c:pt>
                <c:pt idx="3">
                  <c:v>63400</c:v>
                </c:pt>
                <c:pt idx="4">
                  <c:v>56750</c:v>
                </c:pt>
                <c:pt idx="5">
                  <c:v>50100</c:v>
                </c:pt>
                <c:pt idx="6">
                  <c:v>39730</c:v>
                </c:pt>
                <c:pt idx="7">
                  <c:v>30158.75</c:v>
                </c:pt>
                <c:pt idx="8">
                  <c:v>21326.25</c:v>
                </c:pt>
                <c:pt idx="9">
                  <c:v>13780.75</c:v>
                </c:pt>
                <c:pt idx="10">
                  <c:v>7030.25</c:v>
                </c:pt>
                <c:pt idx="11">
                  <c:v>304.5</c:v>
                </c:pt>
                <c:pt idx="12">
                  <c:v>6763</c:v>
                </c:pt>
                <c:pt idx="13">
                  <c:v>14243.5</c:v>
                </c:pt>
                <c:pt idx="14">
                  <c:v>24444.75</c:v>
                </c:pt>
                <c:pt idx="15">
                  <c:v>36920.25</c:v>
                </c:pt>
                <c:pt idx="16">
                  <c:v>52364.75</c:v>
                </c:pt>
                <c:pt idx="17">
                  <c:v>69523</c:v>
                </c:pt>
                <c:pt idx="18">
                  <c:v>89211.75</c:v>
                </c:pt>
                <c:pt idx="19">
                  <c:v>111546.5</c:v>
                </c:pt>
                <c:pt idx="20">
                  <c:v>136208.5</c:v>
                </c:pt>
                <c:pt idx="21">
                  <c:v>163071.5</c:v>
                </c:pt>
                <c:pt idx="22">
                  <c:v>192101.25</c:v>
                </c:pt>
                <c:pt idx="23">
                  <c:v>223375.25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798-457D-89A6-647CD52E0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6388895"/>
        <c:axId val="1299172655"/>
      </c:lineChart>
      <c:catAx>
        <c:axId val="15463888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172655"/>
        <c:crosses val="autoZero"/>
        <c:auto val="1"/>
        <c:lblAlgn val="ctr"/>
        <c:lblOffset val="100"/>
        <c:noMultiLvlLbl val="0"/>
      </c:catAx>
      <c:valAx>
        <c:axId val="129917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388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664029</xdr:colOff>
      <xdr:row>4</xdr:row>
      <xdr:rowOff>10885</xdr:rowOff>
    </xdr:from>
    <xdr:to>
      <xdr:col>12</xdr:col>
      <xdr:colOff>152400</xdr:colOff>
      <xdr:row>18</xdr:row>
      <xdr:rowOff>163285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E47191-E48A-45B1-988A-1480C9256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7B263-6DF6-41DC-B298-20D2D0D6ADFF}">
  <dimension ref="A1:O30"/>
  <sheetViews>
    <sheetView zoomScale="70" zoomScaleNormal="70" workbookViewId="0">
      <selection activeCell="N28" sqref="N28"/>
    </sheetView>
  </sheetViews>
  <sheetFormatPr defaultRowHeight="14.4" x14ac:dyDescent="0.3"/>
  <cols>
    <col min="1" max="1" width="16.88671875" bestFit="1" customWidth="1"/>
    <col min="2" max="2" width="37.21875" bestFit="1" customWidth="1"/>
    <col min="3" max="3" width="13.33203125" bestFit="1" customWidth="1"/>
    <col min="4" max="4" width="11.44140625" bestFit="1" customWidth="1"/>
    <col min="8" max="8" width="13.5546875" bestFit="1" customWidth="1"/>
    <col min="9" max="9" width="14.6640625" bestFit="1" customWidth="1"/>
    <col min="10" max="10" width="9.109375" customWidth="1"/>
    <col min="11" max="11" width="12.21875" bestFit="1" customWidth="1"/>
    <col min="12" max="12" width="13.88671875" bestFit="1" customWidth="1"/>
    <col min="13" max="13" width="11.88671875" bestFit="1" customWidth="1"/>
    <col min="14" max="14" width="16" bestFit="1" customWidth="1"/>
    <col min="15" max="15" width="13" bestFit="1" customWidth="1"/>
  </cols>
  <sheetData>
    <row r="1" spans="1:15" ht="15.6" x14ac:dyDescent="0.3">
      <c r="A1" s="32" t="s">
        <v>12</v>
      </c>
      <c r="B1" s="33"/>
      <c r="C1" s="33"/>
      <c r="D1" s="33"/>
      <c r="G1" s="30" t="s">
        <v>41</v>
      </c>
      <c r="H1" s="30"/>
      <c r="I1" s="30"/>
      <c r="J1" s="30"/>
      <c r="K1" s="30"/>
      <c r="L1" s="30"/>
      <c r="M1" s="30"/>
      <c r="N1" s="16"/>
      <c r="O1" s="18"/>
    </row>
    <row r="2" spans="1:15" ht="15.6" x14ac:dyDescent="0.3">
      <c r="A2" s="21" t="s">
        <v>2</v>
      </c>
      <c r="B2" s="21" t="s">
        <v>8</v>
      </c>
      <c r="C2" s="21" t="s">
        <v>3</v>
      </c>
      <c r="D2" s="22" t="s">
        <v>13</v>
      </c>
      <c r="G2" s="16"/>
      <c r="H2" s="15" t="s">
        <v>45</v>
      </c>
      <c r="I2" s="15" t="s">
        <v>46</v>
      </c>
      <c r="J2" s="16" t="s">
        <v>44</v>
      </c>
      <c r="K2" s="16" t="s">
        <v>42</v>
      </c>
      <c r="L2" s="16" t="s">
        <v>14</v>
      </c>
      <c r="M2" s="17" t="s">
        <v>23</v>
      </c>
      <c r="N2" s="16" t="s">
        <v>24</v>
      </c>
      <c r="O2" s="16" t="s">
        <v>29</v>
      </c>
    </row>
    <row r="3" spans="1:15" ht="15" x14ac:dyDescent="0.3">
      <c r="A3" s="31" t="s">
        <v>0</v>
      </c>
      <c r="B3" s="5" t="s">
        <v>9</v>
      </c>
      <c r="C3" s="19">
        <v>2000</v>
      </c>
      <c r="D3" s="34">
        <f>SUM(C3:C5)</f>
        <v>6000</v>
      </c>
      <c r="G3" s="1">
        <v>1</v>
      </c>
      <c r="H3" s="14">
        <v>0</v>
      </c>
      <c r="I3" s="14">
        <v>0</v>
      </c>
      <c r="J3" s="14">
        <v>0</v>
      </c>
      <c r="K3" s="9">
        <v>6000</v>
      </c>
      <c r="L3" s="6">
        <v>650</v>
      </c>
      <c r="M3" s="14">
        <v>0</v>
      </c>
      <c r="N3" s="14">
        <v>0</v>
      </c>
      <c r="O3" s="9">
        <f t="shared" ref="O3:O26" si="0">SUM(H3:N3)</f>
        <v>6650</v>
      </c>
    </row>
    <row r="4" spans="1:15" ht="15" x14ac:dyDescent="0.3">
      <c r="A4" s="31"/>
      <c r="B4" s="4" t="s">
        <v>10</v>
      </c>
      <c r="C4" s="19">
        <v>2500</v>
      </c>
      <c r="D4" s="34"/>
      <c r="G4" s="1">
        <v>2</v>
      </c>
      <c r="H4" s="14">
        <v>0</v>
      </c>
      <c r="I4" s="14">
        <v>0</v>
      </c>
      <c r="J4" s="14">
        <v>0</v>
      </c>
      <c r="K4" s="9">
        <v>6000</v>
      </c>
      <c r="L4" s="6">
        <v>650</v>
      </c>
      <c r="M4" s="14">
        <v>0</v>
      </c>
      <c r="N4" s="14">
        <v>0</v>
      </c>
      <c r="O4" s="9">
        <f t="shared" si="0"/>
        <v>6650</v>
      </c>
    </row>
    <row r="5" spans="1:15" ht="15" x14ac:dyDescent="0.3">
      <c r="A5" s="31"/>
      <c r="B5" s="4" t="s">
        <v>11</v>
      </c>
      <c r="C5" s="19">
        <v>1500</v>
      </c>
      <c r="D5" s="34"/>
      <c r="G5" s="1">
        <v>3</v>
      </c>
      <c r="H5" s="14">
        <v>0</v>
      </c>
      <c r="I5" s="14">
        <v>0</v>
      </c>
      <c r="J5" s="14">
        <v>0</v>
      </c>
      <c r="K5" s="9">
        <v>6000</v>
      </c>
      <c r="L5" s="6">
        <v>650</v>
      </c>
      <c r="M5" s="14">
        <v>0</v>
      </c>
      <c r="N5" s="14">
        <v>0</v>
      </c>
      <c r="O5" s="9">
        <f t="shared" si="0"/>
        <v>6650</v>
      </c>
    </row>
    <row r="6" spans="1:15" ht="15" x14ac:dyDescent="0.3">
      <c r="A6" s="35" t="s">
        <v>14</v>
      </c>
      <c r="B6" s="4" t="s">
        <v>15</v>
      </c>
      <c r="C6" s="19">
        <v>200</v>
      </c>
      <c r="D6" s="36">
        <f>SUM(C6:C10)</f>
        <v>650</v>
      </c>
      <c r="G6" s="1">
        <v>4</v>
      </c>
      <c r="H6" s="14">
        <v>0</v>
      </c>
      <c r="I6" s="14">
        <v>0</v>
      </c>
      <c r="J6" s="14">
        <v>0</v>
      </c>
      <c r="K6" s="9">
        <v>6000</v>
      </c>
      <c r="L6" s="6">
        <v>650</v>
      </c>
      <c r="M6" s="14">
        <v>0</v>
      </c>
      <c r="N6" s="14">
        <v>0</v>
      </c>
      <c r="O6" s="9">
        <f t="shared" si="0"/>
        <v>6650</v>
      </c>
    </row>
    <row r="7" spans="1:15" ht="15" x14ac:dyDescent="0.3">
      <c r="A7" s="35"/>
      <c r="B7" s="4" t="s">
        <v>16</v>
      </c>
      <c r="C7" s="19">
        <v>150</v>
      </c>
      <c r="D7" s="36"/>
      <c r="G7" s="1">
        <v>5</v>
      </c>
      <c r="H7" s="14">
        <v>0</v>
      </c>
      <c r="I7" s="14">
        <v>0</v>
      </c>
      <c r="J7" s="14">
        <v>0</v>
      </c>
      <c r="K7" s="9">
        <v>6000</v>
      </c>
      <c r="L7" s="6">
        <v>650</v>
      </c>
      <c r="M7" s="14">
        <v>0</v>
      </c>
      <c r="N7" s="14">
        <v>0</v>
      </c>
      <c r="O7" s="9">
        <f t="shared" si="0"/>
        <v>6650</v>
      </c>
    </row>
    <row r="8" spans="1:15" ht="15" x14ac:dyDescent="0.3">
      <c r="A8" s="35"/>
      <c r="B8" s="4" t="s">
        <v>17</v>
      </c>
      <c r="C8" s="19">
        <v>100</v>
      </c>
      <c r="D8" s="36"/>
      <c r="G8" s="1">
        <v>6</v>
      </c>
      <c r="H8" s="14">
        <v>0</v>
      </c>
      <c r="I8" s="14">
        <v>0</v>
      </c>
      <c r="J8" s="14">
        <v>0</v>
      </c>
      <c r="K8" s="9">
        <v>6000</v>
      </c>
      <c r="L8" s="6">
        <v>650</v>
      </c>
      <c r="M8" s="14">
        <v>0</v>
      </c>
      <c r="N8" s="14">
        <v>0</v>
      </c>
      <c r="O8" s="9">
        <f t="shared" si="0"/>
        <v>6650</v>
      </c>
    </row>
    <row r="9" spans="1:15" ht="15" x14ac:dyDescent="0.3">
      <c r="A9" s="35"/>
      <c r="B9" s="4" t="s">
        <v>18</v>
      </c>
      <c r="C9" s="19">
        <v>100</v>
      </c>
      <c r="D9" s="36"/>
      <c r="G9" s="1">
        <v>7</v>
      </c>
      <c r="H9" s="14">
        <v>200</v>
      </c>
      <c r="I9" s="9">
        <v>200</v>
      </c>
      <c r="J9">
        <f>revenue!B3*0.15</f>
        <v>300</v>
      </c>
      <c r="K9" s="9">
        <v>8700</v>
      </c>
      <c r="L9" s="9">
        <v>900</v>
      </c>
      <c r="M9" s="14">
        <v>1000</v>
      </c>
      <c r="N9" s="14">
        <v>70</v>
      </c>
      <c r="O9" s="9">
        <f t="shared" si="0"/>
        <v>11370</v>
      </c>
    </row>
    <row r="10" spans="1:15" ht="15" x14ac:dyDescent="0.3">
      <c r="A10" s="35"/>
      <c r="B10" s="4" t="s">
        <v>1</v>
      </c>
      <c r="C10" s="20">
        <v>100</v>
      </c>
      <c r="D10" s="36"/>
      <c r="G10" s="1">
        <v>8</v>
      </c>
      <c r="H10" s="14">
        <v>200.5</v>
      </c>
      <c r="I10" s="9">
        <v>400</v>
      </c>
      <c r="J10">
        <f>revenue!B4*0.15</f>
        <v>300.75</v>
      </c>
      <c r="K10" s="9">
        <v>8700</v>
      </c>
      <c r="L10" s="9">
        <v>900</v>
      </c>
      <c r="M10" s="14">
        <v>1000</v>
      </c>
      <c r="N10" s="14">
        <v>70</v>
      </c>
      <c r="O10" s="9">
        <f t="shared" si="0"/>
        <v>11571.25</v>
      </c>
    </row>
    <row r="11" spans="1:15" x14ac:dyDescent="0.3">
      <c r="A11" s="23"/>
      <c r="B11" s="23"/>
      <c r="C11" s="23"/>
      <c r="D11" s="23"/>
      <c r="G11" s="1">
        <v>9</v>
      </c>
      <c r="H11" s="14">
        <v>157.80000000000001</v>
      </c>
      <c r="I11" s="9">
        <v>558</v>
      </c>
      <c r="J11">
        <f>revenue!B5*0.15</f>
        <v>236.7</v>
      </c>
      <c r="K11" s="9">
        <v>8700</v>
      </c>
      <c r="L11" s="9">
        <v>900</v>
      </c>
      <c r="M11" s="14">
        <v>1000</v>
      </c>
      <c r="N11" s="14">
        <v>70</v>
      </c>
      <c r="O11" s="9">
        <f t="shared" si="0"/>
        <v>11622.5</v>
      </c>
    </row>
    <row r="12" spans="1:15" ht="15.6" x14ac:dyDescent="0.3">
      <c r="A12" s="32" t="s">
        <v>19</v>
      </c>
      <c r="B12" s="33"/>
      <c r="C12" s="33"/>
      <c r="D12" s="33"/>
      <c r="G12" s="1">
        <v>10</v>
      </c>
      <c r="H12" s="14">
        <v>127.80000000000001</v>
      </c>
      <c r="I12" s="9">
        <v>686</v>
      </c>
      <c r="J12">
        <f>revenue!B6*0.15</f>
        <v>191.7</v>
      </c>
      <c r="K12" s="9">
        <v>8700</v>
      </c>
      <c r="L12" s="9">
        <v>900</v>
      </c>
      <c r="M12" s="14">
        <v>1000</v>
      </c>
      <c r="N12" s="14">
        <v>70</v>
      </c>
      <c r="O12" s="9">
        <f t="shared" si="0"/>
        <v>11675.5</v>
      </c>
    </row>
    <row r="13" spans="1:15" ht="15.6" x14ac:dyDescent="0.3">
      <c r="A13" s="21" t="s">
        <v>2</v>
      </c>
      <c r="B13" s="21" t="s">
        <v>8</v>
      </c>
      <c r="C13" s="21" t="s">
        <v>3</v>
      </c>
      <c r="D13" s="22" t="s">
        <v>13</v>
      </c>
      <c r="G13" s="1">
        <v>11</v>
      </c>
      <c r="H13" s="14">
        <v>84.2</v>
      </c>
      <c r="I13" s="9">
        <v>770</v>
      </c>
      <c r="J13">
        <f>revenue!B7*0.15</f>
        <v>126.3</v>
      </c>
      <c r="K13" s="9">
        <v>8700</v>
      </c>
      <c r="L13" s="9">
        <v>900</v>
      </c>
      <c r="M13" s="14">
        <v>1000</v>
      </c>
      <c r="N13" s="14">
        <v>70</v>
      </c>
      <c r="O13" s="9">
        <f t="shared" si="0"/>
        <v>11650.5</v>
      </c>
    </row>
    <row r="14" spans="1:15" ht="15" x14ac:dyDescent="0.3">
      <c r="A14" s="40" t="s">
        <v>0</v>
      </c>
      <c r="B14" s="5" t="s">
        <v>9</v>
      </c>
      <c r="C14" s="19">
        <v>2000</v>
      </c>
      <c r="D14" s="43">
        <f>SUM(C14:C18)</f>
        <v>8700</v>
      </c>
      <c r="G14" s="1">
        <v>12</v>
      </c>
      <c r="H14" s="14">
        <v>110.30000000000001</v>
      </c>
      <c r="I14" s="9">
        <v>880</v>
      </c>
      <c r="J14">
        <f>revenue!B8*0.15</f>
        <v>165.45</v>
      </c>
      <c r="K14" s="9">
        <v>8700</v>
      </c>
      <c r="L14" s="9">
        <v>900</v>
      </c>
      <c r="M14" s="14">
        <v>1000</v>
      </c>
      <c r="N14" s="14">
        <v>70</v>
      </c>
      <c r="O14" s="9">
        <f t="shared" si="0"/>
        <v>11825.75</v>
      </c>
    </row>
    <row r="15" spans="1:15" ht="15" x14ac:dyDescent="0.3">
      <c r="A15" s="41"/>
      <c r="B15" s="4" t="s">
        <v>10</v>
      </c>
      <c r="C15" s="19">
        <v>2500</v>
      </c>
      <c r="D15" s="44"/>
      <c r="G15" s="1">
        <v>13</v>
      </c>
      <c r="H15" s="14">
        <v>162</v>
      </c>
      <c r="I15" s="9">
        <v>1042</v>
      </c>
      <c r="J15">
        <f>revenue!B9*0.15</f>
        <v>243</v>
      </c>
      <c r="K15" s="9">
        <f>(K14*10%)+K14</f>
        <v>9570</v>
      </c>
      <c r="L15" s="9">
        <f>(L14*10%)+L14</f>
        <v>990</v>
      </c>
      <c r="M15" s="14">
        <f>(M14*10%)+M14</f>
        <v>1100</v>
      </c>
      <c r="N15" s="14">
        <f>(N14*10%)+N14</f>
        <v>77</v>
      </c>
      <c r="O15" s="9">
        <f t="shared" si="0"/>
        <v>13184</v>
      </c>
    </row>
    <row r="16" spans="1:15" ht="15" x14ac:dyDescent="0.3">
      <c r="A16" s="41"/>
      <c r="B16" s="4" t="s">
        <v>11</v>
      </c>
      <c r="C16" s="19">
        <v>1500</v>
      </c>
      <c r="D16" s="44"/>
      <c r="G16" s="1">
        <v>14</v>
      </c>
      <c r="H16" s="14">
        <v>68.7</v>
      </c>
      <c r="I16" s="9">
        <v>1112</v>
      </c>
      <c r="J16">
        <f>revenue!B10*0.15</f>
        <v>103.05</v>
      </c>
      <c r="K16" s="9">
        <v>9570</v>
      </c>
      <c r="L16" s="9">
        <v>990</v>
      </c>
      <c r="M16" s="14">
        <v>1100</v>
      </c>
      <c r="N16" s="9">
        <v>77</v>
      </c>
      <c r="O16" s="9">
        <f t="shared" si="0"/>
        <v>13020.75</v>
      </c>
    </row>
    <row r="17" spans="1:15" ht="15" x14ac:dyDescent="0.3">
      <c r="A17" s="41"/>
      <c r="B17" s="4" t="s">
        <v>20</v>
      </c>
      <c r="C17" s="19">
        <v>1200</v>
      </c>
      <c r="D17" s="44"/>
      <c r="G17" s="1">
        <v>15</v>
      </c>
      <c r="H17" s="14">
        <v>132.1</v>
      </c>
      <c r="I17" s="9">
        <v>1244</v>
      </c>
      <c r="J17">
        <f>revenue!B11*0.15</f>
        <v>198.15</v>
      </c>
      <c r="K17" s="9">
        <v>9570</v>
      </c>
      <c r="L17" s="9">
        <v>990</v>
      </c>
      <c r="M17" s="14">
        <v>1100</v>
      </c>
      <c r="N17" s="9">
        <v>77</v>
      </c>
      <c r="O17" s="9">
        <f t="shared" si="0"/>
        <v>13311.25</v>
      </c>
    </row>
    <row r="18" spans="1:15" ht="15" x14ac:dyDescent="0.3">
      <c r="A18" s="42"/>
      <c r="B18" s="4" t="s">
        <v>21</v>
      </c>
      <c r="C18" s="19">
        <v>1500</v>
      </c>
      <c r="D18" s="45"/>
      <c r="G18" s="1">
        <v>16</v>
      </c>
      <c r="H18" s="14">
        <v>139.20000000000002</v>
      </c>
      <c r="I18" s="9">
        <v>1382</v>
      </c>
      <c r="J18">
        <f>revenue!B12*0.15</f>
        <v>208.79999999999998</v>
      </c>
      <c r="K18" s="9">
        <v>9570</v>
      </c>
      <c r="L18" s="9">
        <v>990</v>
      </c>
      <c r="M18" s="14">
        <v>1100</v>
      </c>
      <c r="N18" s="9">
        <v>77</v>
      </c>
      <c r="O18" s="9">
        <f t="shared" si="0"/>
        <v>13467</v>
      </c>
    </row>
    <row r="19" spans="1:15" ht="15" x14ac:dyDescent="0.3">
      <c r="A19" s="35" t="s">
        <v>14</v>
      </c>
      <c r="B19" s="4" t="s">
        <v>15</v>
      </c>
      <c r="C19" s="19">
        <v>250</v>
      </c>
      <c r="D19" s="36">
        <f>SUM(C19:C23)</f>
        <v>900</v>
      </c>
      <c r="G19" s="1">
        <v>17</v>
      </c>
      <c r="H19" s="14">
        <v>162.30000000000001</v>
      </c>
      <c r="I19" s="9">
        <v>1544</v>
      </c>
      <c r="J19">
        <f>revenue!B13*0.15</f>
        <v>243.45</v>
      </c>
      <c r="K19" s="9">
        <v>9570</v>
      </c>
      <c r="L19" s="9">
        <v>990</v>
      </c>
      <c r="M19" s="14">
        <v>1100</v>
      </c>
      <c r="N19" s="9">
        <v>77</v>
      </c>
      <c r="O19" s="9">
        <f t="shared" si="0"/>
        <v>13686.75</v>
      </c>
    </row>
    <row r="20" spans="1:15" ht="15" x14ac:dyDescent="0.3">
      <c r="A20" s="35"/>
      <c r="B20" s="4" t="s">
        <v>16</v>
      </c>
      <c r="C20" s="19">
        <v>200</v>
      </c>
      <c r="D20" s="36"/>
      <c r="G20" s="1">
        <v>18</v>
      </c>
      <c r="H20" s="14">
        <v>151.80000000000001</v>
      </c>
      <c r="I20" s="9">
        <v>1696</v>
      </c>
      <c r="J20">
        <f>revenue!B14*0.15</f>
        <v>227.7</v>
      </c>
      <c r="K20" s="9">
        <v>9570</v>
      </c>
      <c r="L20" s="9">
        <v>990</v>
      </c>
      <c r="M20" s="14">
        <v>1100</v>
      </c>
      <c r="N20" s="9">
        <v>77</v>
      </c>
      <c r="O20" s="9">
        <f t="shared" si="0"/>
        <v>13812.5</v>
      </c>
    </row>
    <row r="21" spans="1:15" ht="15" x14ac:dyDescent="0.3">
      <c r="A21" s="35"/>
      <c r="B21" s="4" t="s">
        <v>17</v>
      </c>
      <c r="C21" s="19">
        <v>150</v>
      </c>
      <c r="D21" s="36"/>
      <c r="G21" s="1">
        <v>19</v>
      </c>
      <c r="H21" s="14">
        <v>140</v>
      </c>
      <c r="I21" s="9">
        <v>1836</v>
      </c>
      <c r="J21">
        <f>revenue!B15*0.15</f>
        <v>210</v>
      </c>
      <c r="K21" s="9">
        <v>9570</v>
      </c>
      <c r="L21" s="9">
        <v>990</v>
      </c>
      <c r="M21" s="14">
        <v>1100</v>
      </c>
      <c r="N21" s="9">
        <v>77</v>
      </c>
      <c r="O21" s="9">
        <f t="shared" si="0"/>
        <v>13923</v>
      </c>
    </row>
    <row r="22" spans="1:15" ht="15" x14ac:dyDescent="0.3">
      <c r="A22" s="35"/>
      <c r="B22" s="4" t="s">
        <v>18</v>
      </c>
      <c r="C22" s="19">
        <v>150</v>
      </c>
      <c r="D22" s="36"/>
      <c r="G22" s="1">
        <v>20</v>
      </c>
      <c r="H22" s="14">
        <v>124.10000000000001</v>
      </c>
      <c r="I22" s="9">
        <v>1960</v>
      </c>
      <c r="J22">
        <f>revenue!B16*0.15</f>
        <v>186.15</v>
      </c>
      <c r="K22" s="9">
        <v>9570</v>
      </c>
      <c r="L22" s="9">
        <v>990</v>
      </c>
      <c r="M22" s="14">
        <v>1100</v>
      </c>
      <c r="N22" s="9">
        <v>77</v>
      </c>
      <c r="O22" s="9">
        <f t="shared" si="0"/>
        <v>14007.25</v>
      </c>
    </row>
    <row r="23" spans="1:15" ht="15" x14ac:dyDescent="0.3">
      <c r="A23" s="35"/>
      <c r="B23" s="4" t="s">
        <v>1</v>
      </c>
      <c r="C23" s="20">
        <v>150</v>
      </c>
      <c r="D23" s="36"/>
      <c r="G23" s="1">
        <v>21</v>
      </c>
      <c r="H23" s="14">
        <v>180</v>
      </c>
      <c r="I23" s="9">
        <v>2140</v>
      </c>
      <c r="J23">
        <f>revenue!B17*0.15</f>
        <v>270</v>
      </c>
      <c r="K23" s="9">
        <v>9570</v>
      </c>
      <c r="L23" s="9">
        <v>990</v>
      </c>
      <c r="M23" s="14">
        <v>1100</v>
      </c>
      <c r="N23" s="9">
        <v>77</v>
      </c>
      <c r="O23" s="9">
        <f t="shared" si="0"/>
        <v>14327</v>
      </c>
    </row>
    <row r="24" spans="1:15" ht="15" x14ac:dyDescent="0.3">
      <c r="A24" s="4" t="s">
        <v>23</v>
      </c>
      <c r="B24" s="24" t="s">
        <v>22</v>
      </c>
      <c r="C24" s="20">
        <v>1000</v>
      </c>
      <c r="D24" s="20">
        <v>1000</v>
      </c>
      <c r="G24" s="1">
        <v>22</v>
      </c>
      <c r="H24" s="14">
        <v>124.7</v>
      </c>
      <c r="I24" s="9">
        <v>2266</v>
      </c>
      <c r="J24">
        <f>revenue!B18*0.15</f>
        <v>187.04999999999998</v>
      </c>
      <c r="K24" s="9">
        <v>9570</v>
      </c>
      <c r="L24" s="9">
        <v>990</v>
      </c>
      <c r="M24" s="14">
        <v>1100</v>
      </c>
      <c r="N24" s="9">
        <v>77</v>
      </c>
      <c r="O24" s="9">
        <f t="shared" si="0"/>
        <v>14314.75</v>
      </c>
    </row>
    <row r="25" spans="1:15" ht="15" x14ac:dyDescent="0.3">
      <c r="A25" s="35" t="s">
        <v>24</v>
      </c>
      <c r="B25" s="25" t="s">
        <v>25</v>
      </c>
      <c r="C25" s="20">
        <v>50</v>
      </c>
      <c r="D25" s="37">
        <f>SUM(C25:C27)</f>
        <v>70</v>
      </c>
      <c r="G25" s="1">
        <v>23</v>
      </c>
      <c r="H25" s="14">
        <v>100.5</v>
      </c>
      <c r="I25" s="9">
        <v>2366</v>
      </c>
      <c r="J25">
        <f>revenue!B19*0.15</f>
        <v>150.75</v>
      </c>
      <c r="K25" s="9">
        <v>9570</v>
      </c>
      <c r="L25" s="9">
        <v>990</v>
      </c>
      <c r="M25" s="14">
        <v>1100</v>
      </c>
      <c r="N25" s="9">
        <v>77</v>
      </c>
      <c r="O25" s="9">
        <f t="shared" si="0"/>
        <v>14354.25</v>
      </c>
    </row>
    <row r="26" spans="1:15" ht="15" x14ac:dyDescent="0.3">
      <c r="A26" s="35"/>
      <c r="B26" s="25" t="s">
        <v>26</v>
      </c>
      <c r="C26" s="20">
        <v>0</v>
      </c>
      <c r="D26" s="38"/>
      <c r="G26" s="1">
        <v>24</v>
      </c>
      <c r="H26" s="14">
        <v>110.30000000000001</v>
      </c>
      <c r="I26" s="9">
        <v>2476</v>
      </c>
      <c r="J26">
        <f>revenue!B20*0.15</f>
        <v>165.45</v>
      </c>
      <c r="K26" s="9">
        <v>9570</v>
      </c>
      <c r="L26" s="9">
        <v>990</v>
      </c>
      <c r="M26" s="14">
        <v>1100</v>
      </c>
      <c r="N26" s="9">
        <v>77</v>
      </c>
      <c r="O26" s="9">
        <f t="shared" si="0"/>
        <v>14488.75</v>
      </c>
    </row>
    <row r="27" spans="1:15" ht="15" x14ac:dyDescent="0.3">
      <c r="A27" s="35"/>
      <c r="B27" s="25" t="s">
        <v>27</v>
      </c>
      <c r="C27" s="20">
        <v>20</v>
      </c>
      <c r="D27" s="39"/>
    </row>
    <row r="28" spans="1:15" x14ac:dyDescent="0.3">
      <c r="A28" s="23"/>
      <c r="B28" s="23"/>
      <c r="C28" s="23"/>
      <c r="D28" s="23"/>
    </row>
    <row r="29" spans="1:15" ht="15.6" x14ac:dyDescent="0.3">
      <c r="A29" s="32" t="s">
        <v>30</v>
      </c>
      <c r="B29" s="33"/>
      <c r="C29" s="33"/>
      <c r="D29" s="33"/>
    </row>
    <row r="30" spans="1:15" x14ac:dyDescent="0.3">
      <c r="A30" s="29">
        <v>11737</v>
      </c>
      <c r="B30" s="29"/>
      <c r="C30" s="29"/>
      <c r="D30" s="29"/>
    </row>
  </sheetData>
  <mergeCells count="15">
    <mergeCell ref="A30:D30"/>
    <mergeCell ref="G1:M1"/>
    <mergeCell ref="A3:A5"/>
    <mergeCell ref="A1:D1"/>
    <mergeCell ref="D3:D5"/>
    <mergeCell ref="A6:A10"/>
    <mergeCell ref="D6:D10"/>
    <mergeCell ref="A29:D29"/>
    <mergeCell ref="A25:A27"/>
    <mergeCell ref="D25:D27"/>
    <mergeCell ref="A12:D12"/>
    <mergeCell ref="A19:A23"/>
    <mergeCell ref="D19:D23"/>
    <mergeCell ref="A14:A18"/>
    <mergeCell ref="D14:D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30E22-9629-4C9E-90EE-89195931FFAF}">
  <dimension ref="A1:M20"/>
  <sheetViews>
    <sheetView workbookViewId="0">
      <selection activeCell="N5" sqref="N5"/>
    </sheetView>
  </sheetViews>
  <sheetFormatPr defaultRowHeight="14.4" x14ac:dyDescent="0.3"/>
  <cols>
    <col min="1" max="1" width="6.6640625" bestFit="1" customWidth="1"/>
    <col min="2" max="2" width="20.33203125" bestFit="1" customWidth="1"/>
    <col min="3" max="3" width="17" bestFit="1" customWidth="1"/>
    <col min="4" max="4" width="13.5546875" bestFit="1" customWidth="1"/>
    <col min="5" max="5" width="13.6640625" bestFit="1" customWidth="1"/>
    <col min="6" max="6" width="8.109375" bestFit="1" customWidth="1"/>
    <col min="7" max="7" width="9.6640625" bestFit="1" customWidth="1"/>
    <col min="8" max="8" width="11.21875" bestFit="1" customWidth="1"/>
    <col min="9" max="9" width="16.109375" bestFit="1" customWidth="1"/>
    <col min="10" max="10" width="14.5546875" bestFit="1" customWidth="1"/>
    <col min="11" max="11" width="10.109375" bestFit="1" customWidth="1"/>
    <col min="12" max="12" width="15.77734375" bestFit="1" customWidth="1"/>
    <col min="13" max="13" width="12.109375" bestFit="1" customWidth="1"/>
  </cols>
  <sheetData>
    <row r="1" spans="1:13" x14ac:dyDescent="0.3">
      <c r="A1" s="46" t="s">
        <v>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2" spans="1:13" x14ac:dyDescent="0.3">
      <c r="A2" s="11" t="s">
        <v>28</v>
      </c>
      <c r="B2" s="10" t="s">
        <v>31</v>
      </c>
      <c r="C2" s="10" t="s">
        <v>32</v>
      </c>
      <c r="D2" s="10" t="s">
        <v>33</v>
      </c>
      <c r="E2" s="12" t="s">
        <v>34</v>
      </c>
      <c r="F2" s="7" t="s">
        <v>35</v>
      </c>
      <c r="G2" s="3" t="s">
        <v>36</v>
      </c>
      <c r="H2" s="12" t="s">
        <v>37</v>
      </c>
      <c r="I2" s="10" t="s">
        <v>38</v>
      </c>
      <c r="J2" s="12" t="s">
        <v>39</v>
      </c>
      <c r="K2" s="12" t="s">
        <v>43</v>
      </c>
      <c r="L2" s="13" t="s">
        <v>40</v>
      </c>
      <c r="M2" s="11" t="s">
        <v>29</v>
      </c>
    </row>
    <row r="3" spans="1:13" x14ac:dyDescent="0.3">
      <c r="A3" s="1">
        <v>7</v>
      </c>
      <c r="B3">
        <v>2000</v>
      </c>
      <c r="C3">
        <f>B3</f>
        <v>2000</v>
      </c>
      <c r="D3" s="2">
        <v>0</v>
      </c>
      <c r="E3" s="6">
        <f>D3*5</f>
        <v>0</v>
      </c>
      <c r="F3" s="8">
        <v>0</v>
      </c>
      <c r="G3" s="6">
        <v>0</v>
      </c>
      <c r="H3" s="6">
        <f>F3*G3</f>
        <v>0</v>
      </c>
      <c r="I3" s="2">
        <v>100</v>
      </c>
      <c r="J3" s="6">
        <f>I3*10</f>
        <v>1000</v>
      </c>
      <c r="K3">
        <v>20000</v>
      </c>
      <c r="L3" s="9">
        <v>0</v>
      </c>
      <c r="M3" s="9">
        <f t="shared" ref="M3:M16" si="0">E3+H3+J3+L3</f>
        <v>1000</v>
      </c>
    </row>
    <row r="4" spans="1:13" x14ac:dyDescent="0.3">
      <c r="A4" s="1">
        <v>8</v>
      </c>
      <c r="B4">
        <v>2005</v>
      </c>
      <c r="C4">
        <f>B3+B4</f>
        <v>4005</v>
      </c>
      <c r="D4" s="2">
        <v>0</v>
      </c>
      <c r="E4" s="6">
        <f t="shared" ref="E4:E20" si="1">D4*5</f>
        <v>0</v>
      </c>
      <c r="F4" s="8">
        <v>0</v>
      </c>
      <c r="G4" s="6">
        <v>0</v>
      </c>
      <c r="H4" s="6">
        <f t="shared" ref="H4:H20" si="2">F4*G4</f>
        <v>0</v>
      </c>
      <c r="I4" s="2">
        <v>200</v>
      </c>
      <c r="J4" s="6">
        <f t="shared" ref="J4:J20" si="3">I4*10</f>
        <v>2000</v>
      </c>
      <c r="K4">
        <v>40050</v>
      </c>
      <c r="L4" s="9">
        <v>0</v>
      </c>
      <c r="M4" s="9">
        <f t="shared" si="0"/>
        <v>2000</v>
      </c>
    </row>
    <row r="5" spans="1:13" x14ac:dyDescent="0.3">
      <c r="A5" s="1">
        <v>9</v>
      </c>
      <c r="B5">
        <v>1578</v>
      </c>
      <c r="C5">
        <f t="shared" ref="C5:C20" si="4">C4+B5</f>
        <v>5583</v>
      </c>
      <c r="D5" s="2">
        <v>0</v>
      </c>
      <c r="E5" s="6">
        <f t="shared" si="1"/>
        <v>0</v>
      </c>
      <c r="F5" s="8">
        <v>0</v>
      </c>
      <c r="G5" s="6">
        <v>0</v>
      </c>
      <c r="H5" s="6">
        <f t="shared" si="2"/>
        <v>0</v>
      </c>
      <c r="I5" s="2">
        <v>279</v>
      </c>
      <c r="J5" s="6">
        <f t="shared" si="3"/>
        <v>2790</v>
      </c>
      <c r="K5">
        <v>55830</v>
      </c>
      <c r="L5" s="9">
        <v>0</v>
      </c>
      <c r="M5" s="9">
        <f t="shared" si="0"/>
        <v>2790</v>
      </c>
    </row>
    <row r="6" spans="1:13" x14ac:dyDescent="0.3">
      <c r="A6" s="1">
        <v>10</v>
      </c>
      <c r="B6">
        <v>1278</v>
      </c>
      <c r="C6">
        <f t="shared" si="4"/>
        <v>6861</v>
      </c>
      <c r="D6" s="2">
        <v>0</v>
      </c>
      <c r="E6" s="6">
        <f t="shared" si="1"/>
        <v>0</v>
      </c>
      <c r="F6" s="8">
        <v>2</v>
      </c>
      <c r="G6" s="6">
        <v>350</v>
      </c>
      <c r="H6" s="6">
        <f t="shared" si="2"/>
        <v>700</v>
      </c>
      <c r="I6" s="2">
        <v>343</v>
      </c>
      <c r="J6" s="6">
        <f t="shared" si="3"/>
        <v>3430</v>
      </c>
      <c r="K6">
        <v>68610</v>
      </c>
      <c r="L6" s="9">
        <v>0</v>
      </c>
      <c r="M6" s="9">
        <f t="shared" si="0"/>
        <v>4130</v>
      </c>
    </row>
    <row r="7" spans="1:13" x14ac:dyDescent="0.3">
      <c r="A7" s="1">
        <v>11</v>
      </c>
      <c r="B7">
        <v>842</v>
      </c>
      <c r="C7">
        <f t="shared" si="4"/>
        <v>7703</v>
      </c>
      <c r="D7" s="2">
        <v>0</v>
      </c>
      <c r="E7" s="6">
        <f t="shared" si="1"/>
        <v>0</v>
      </c>
      <c r="F7" s="8">
        <v>3</v>
      </c>
      <c r="G7" s="6">
        <v>350</v>
      </c>
      <c r="H7" s="6">
        <f t="shared" si="2"/>
        <v>1050</v>
      </c>
      <c r="I7" s="2">
        <v>385</v>
      </c>
      <c r="J7" s="6">
        <f t="shared" si="3"/>
        <v>3850</v>
      </c>
      <c r="K7">
        <v>77030</v>
      </c>
      <c r="L7" s="9">
        <v>0</v>
      </c>
      <c r="M7" s="9">
        <f t="shared" si="0"/>
        <v>4900</v>
      </c>
    </row>
    <row r="8" spans="1:13" x14ac:dyDescent="0.3">
      <c r="A8" s="1">
        <v>12</v>
      </c>
      <c r="B8">
        <v>1103</v>
      </c>
      <c r="C8">
        <f t="shared" si="4"/>
        <v>8806</v>
      </c>
      <c r="D8" s="2">
        <v>0</v>
      </c>
      <c r="E8" s="6">
        <f t="shared" si="1"/>
        <v>0</v>
      </c>
      <c r="F8" s="8">
        <v>2</v>
      </c>
      <c r="G8" s="6">
        <v>350</v>
      </c>
      <c r="H8" s="6">
        <f t="shared" si="2"/>
        <v>700</v>
      </c>
      <c r="I8" s="2">
        <v>440</v>
      </c>
      <c r="J8" s="6">
        <f t="shared" si="3"/>
        <v>4400</v>
      </c>
      <c r="K8">
        <v>88060</v>
      </c>
      <c r="L8" s="9">
        <v>0</v>
      </c>
      <c r="M8" s="9">
        <f t="shared" si="0"/>
        <v>5100</v>
      </c>
    </row>
    <row r="9" spans="1:13" x14ac:dyDescent="0.3">
      <c r="A9" s="1">
        <v>13</v>
      </c>
      <c r="B9">
        <v>1620</v>
      </c>
      <c r="C9">
        <f t="shared" si="4"/>
        <v>10426</v>
      </c>
      <c r="D9" s="2">
        <f>C9*5%</f>
        <v>521.30000000000007</v>
      </c>
      <c r="E9" s="6">
        <f>D9*5</f>
        <v>2606.5000000000005</v>
      </c>
      <c r="F9" s="8">
        <v>4</v>
      </c>
      <c r="G9" s="6">
        <v>350</v>
      </c>
      <c r="H9" s="6">
        <f t="shared" si="2"/>
        <v>1400</v>
      </c>
      <c r="I9" s="2">
        <v>521</v>
      </c>
      <c r="J9" s="6">
        <f t="shared" si="3"/>
        <v>5210</v>
      </c>
      <c r="K9">
        <v>104260</v>
      </c>
      <c r="L9" s="9">
        <v>10426</v>
      </c>
      <c r="M9" s="9">
        <f t="shared" si="0"/>
        <v>19642.5</v>
      </c>
    </row>
    <row r="10" spans="1:13" x14ac:dyDescent="0.3">
      <c r="A10" s="1">
        <v>14</v>
      </c>
      <c r="B10">
        <v>687</v>
      </c>
      <c r="C10">
        <f t="shared" si="4"/>
        <v>11113</v>
      </c>
      <c r="D10" s="2">
        <f t="shared" ref="D10:D20" si="5">C10*5%</f>
        <v>555.65</v>
      </c>
      <c r="E10" s="6">
        <f t="shared" si="1"/>
        <v>2778.25</v>
      </c>
      <c r="F10" s="8">
        <v>3</v>
      </c>
      <c r="G10" s="6">
        <v>350</v>
      </c>
      <c r="H10" s="6">
        <f t="shared" si="2"/>
        <v>1050</v>
      </c>
      <c r="I10" s="2">
        <v>556</v>
      </c>
      <c r="J10" s="6">
        <f t="shared" si="3"/>
        <v>5560</v>
      </c>
      <c r="K10">
        <v>111130</v>
      </c>
      <c r="L10" s="9">
        <v>11113</v>
      </c>
      <c r="M10" s="9">
        <f t="shared" si="0"/>
        <v>20501.25</v>
      </c>
    </row>
    <row r="11" spans="1:13" x14ac:dyDescent="0.3">
      <c r="A11" s="1">
        <v>15</v>
      </c>
      <c r="B11">
        <v>1321</v>
      </c>
      <c r="C11">
        <f t="shared" si="4"/>
        <v>12434</v>
      </c>
      <c r="D11" s="2">
        <f t="shared" si="5"/>
        <v>621.70000000000005</v>
      </c>
      <c r="E11" s="6">
        <f t="shared" si="1"/>
        <v>3108.5</v>
      </c>
      <c r="F11" s="8">
        <v>5</v>
      </c>
      <c r="G11" s="6">
        <v>350</v>
      </c>
      <c r="H11" s="6">
        <f t="shared" si="2"/>
        <v>1750</v>
      </c>
      <c r="I11" s="2">
        <v>622</v>
      </c>
      <c r="J11" s="6">
        <f t="shared" si="3"/>
        <v>6220</v>
      </c>
      <c r="K11">
        <v>124340</v>
      </c>
      <c r="L11" s="9">
        <v>12434</v>
      </c>
      <c r="M11" s="9">
        <f t="shared" si="0"/>
        <v>23512.5</v>
      </c>
    </row>
    <row r="12" spans="1:13" x14ac:dyDescent="0.3">
      <c r="A12" s="1">
        <v>16</v>
      </c>
      <c r="B12">
        <v>1392</v>
      </c>
      <c r="C12">
        <f t="shared" si="4"/>
        <v>13826</v>
      </c>
      <c r="D12" s="2">
        <f t="shared" si="5"/>
        <v>691.30000000000007</v>
      </c>
      <c r="E12" s="6">
        <f t="shared" si="1"/>
        <v>3456.5000000000005</v>
      </c>
      <c r="F12" s="8">
        <v>5</v>
      </c>
      <c r="G12" s="6">
        <v>350</v>
      </c>
      <c r="H12" s="6">
        <f t="shared" si="2"/>
        <v>1750</v>
      </c>
      <c r="I12" s="2">
        <v>691</v>
      </c>
      <c r="J12" s="6">
        <f t="shared" si="3"/>
        <v>6910</v>
      </c>
      <c r="K12">
        <v>138260</v>
      </c>
      <c r="L12" s="9">
        <v>13826</v>
      </c>
      <c r="M12" s="9">
        <f t="shared" si="0"/>
        <v>25942.5</v>
      </c>
    </row>
    <row r="13" spans="1:13" x14ac:dyDescent="0.3">
      <c r="A13" s="1">
        <v>17</v>
      </c>
      <c r="B13">
        <v>1623</v>
      </c>
      <c r="C13">
        <f t="shared" si="4"/>
        <v>15449</v>
      </c>
      <c r="D13" s="2">
        <f t="shared" si="5"/>
        <v>772.45</v>
      </c>
      <c r="E13" s="6">
        <f t="shared" si="1"/>
        <v>3862.25</v>
      </c>
      <c r="F13" s="8">
        <v>6</v>
      </c>
      <c r="G13" s="6">
        <v>350</v>
      </c>
      <c r="H13" s="6">
        <f t="shared" si="2"/>
        <v>2100</v>
      </c>
      <c r="I13" s="2">
        <v>772</v>
      </c>
      <c r="J13" s="6">
        <f t="shared" si="3"/>
        <v>7720</v>
      </c>
      <c r="K13">
        <v>154490</v>
      </c>
      <c r="L13" s="9">
        <v>15449</v>
      </c>
      <c r="M13" s="9">
        <f t="shared" si="0"/>
        <v>29131.25</v>
      </c>
    </row>
    <row r="14" spans="1:13" x14ac:dyDescent="0.3">
      <c r="A14" s="1">
        <v>18</v>
      </c>
      <c r="B14">
        <v>1518</v>
      </c>
      <c r="C14">
        <f t="shared" si="4"/>
        <v>16967</v>
      </c>
      <c r="D14" s="2">
        <f t="shared" si="5"/>
        <v>848.35</v>
      </c>
      <c r="E14" s="6">
        <f t="shared" si="1"/>
        <v>4241.75</v>
      </c>
      <c r="F14" s="8">
        <v>4</v>
      </c>
      <c r="G14" s="6">
        <v>350</v>
      </c>
      <c r="H14" s="6">
        <f t="shared" si="2"/>
        <v>1400</v>
      </c>
      <c r="I14" s="2">
        <v>848</v>
      </c>
      <c r="J14" s="6">
        <f t="shared" si="3"/>
        <v>8480</v>
      </c>
      <c r="K14">
        <v>168490</v>
      </c>
      <c r="L14" s="9">
        <v>16849</v>
      </c>
      <c r="M14" s="9">
        <f t="shared" si="0"/>
        <v>30970.75</v>
      </c>
    </row>
    <row r="15" spans="1:13" x14ac:dyDescent="0.3">
      <c r="A15" s="1">
        <v>19</v>
      </c>
      <c r="B15">
        <v>1400</v>
      </c>
      <c r="C15">
        <f t="shared" si="4"/>
        <v>18367</v>
      </c>
      <c r="D15" s="2">
        <f t="shared" si="5"/>
        <v>918.35</v>
      </c>
      <c r="E15" s="6">
        <f t="shared" si="1"/>
        <v>4591.75</v>
      </c>
      <c r="F15" s="8">
        <v>5</v>
      </c>
      <c r="G15" s="6">
        <v>350</v>
      </c>
      <c r="H15" s="6">
        <f t="shared" si="2"/>
        <v>1750</v>
      </c>
      <c r="I15" s="2">
        <v>918</v>
      </c>
      <c r="J15" s="6">
        <f t="shared" si="3"/>
        <v>9180</v>
      </c>
      <c r="K15">
        <v>180900</v>
      </c>
      <c r="L15" s="9">
        <v>18090</v>
      </c>
      <c r="M15" s="9">
        <f t="shared" si="0"/>
        <v>33611.75</v>
      </c>
    </row>
    <row r="16" spans="1:13" x14ac:dyDescent="0.3">
      <c r="A16" s="1">
        <v>20</v>
      </c>
      <c r="B16">
        <v>1241</v>
      </c>
      <c r="C16">
        <f t="shared" si="4"/>
        <v>19608</v>
      </c>
      <c r="D16" s="2">
        <f t="shared" si="5"/>
        <v>980.40000000000009</v>
      </c>
      <c r="E16" s="6">
        <f t="shared" si="1"/>
        <v>4902</v>
      </c>
      <c r="F16" s="8">
        <v>5</v>
      </c>
      <c r="G16" s="6">
        <v>350</v>
      </c>
      <c r="H16" s="6">
        <f t="shared" si="2"/>
        <v>1750</v>
      </c>
      <c r="I16" s="2">
        <v>980</v>
      </c>
      <c r="J16" s="6">
        <f t="shared" si="3"/>
        <v>9800</v>
      </c>
      <c r="K16">
        <v>198900</v>
      </c>
      <c r="L16" s="9">
        <v>19890</v>
      </c>
      <c r="M16" s="9">
        <f t="shared" si="0"/>
        <v>36342</v>
      </c>
    </row>
    <row r="17" spans="1:13" x14ac:dyDescent="0.3">
      <c r="A17" s="1">
        <v>21</v>
      </c>
      <c r="B17">
        <v>1800</v>
      </c>
      <c r="C17">
        <f t="shared" si="4"/>
        <v>21408</v>
      </c>
      <c r="D17" s="2">
        <f t="shared" si="5"/>
        <v>1070.4000000000001</v>
      </c>
      <c r="E17" s="6">
        <f t="shared" si="1"/>
        <v>5352</v>
      </c>
      <c r="F17" s="8">
        <v>4</v>
      </c>
      <c r="G17" s="6">
        <v>450</v>
      </c>
      <c r="H17" s="6">
        <f>F17*G17</f>
        <v>1800</v>
      </c>
      <c r="I17" s="2">
        <v>1070</v>
      </c>
      <c r="J17" s="6">
        <f t="shared" si="3"/>
        <v>10700</v>
      </c>
      <c r="K17">
        <v>211370</v>
      </c>
      <c r="L17" s="9">
        <v>21137</v>
      </c>
      <c r="M17" s="9">
        <f>E17+H17+J17+L17</f>
        <v>38989</v>
      </c>
    </row>
    <row r="18" spans="1:13" x14ac:dyDescent="0.3">
      <c r="A18" s="1">
        <v>22</v>
      </c>
      <c r="B18">
        <v>1247</v>
      </c>
      <c r="C18">
        <f t="shared" si="4"/>
        <v>22655</v>
      </c>
      <c r="D18" s="2">
        <f t="shared" si="5"/>
        <v>1132.75</v>
      </c>
      <c r="E18" s="6">
        <f t="shared" si="1"/>
        <v>5663.75</v>
      </c>
      <c r="F18" s="8">
        <v>4</v>
      </c>
      <c r="G18" s="6">
        <v>450</v>
      </c>
      <c r="H18" s="6">
        <f t="shared" si="2"/>
        <v>1800</v>
      </c>
      <c r="I18" s="2">
        <v>1133</v>
      </c>
      <c r="J18" s="6">
        <f t="shared" si="3"/>
        <v>11330</v>
      </c>
      <c r="K18">
        <v>223840</v>
      </c>
      <c r="L18" s="9">
        <v>22384</v>
      </c>
      <c r="M18" s="9">
        <f>E18+H18+J18+L18</f>
        <v>41177.75</v>
      </c>
    </row>
    <row r="19" spans="1:13" x14ac:dyDescent="0.3">
      <c r="A19" s="1">
        <v>23</v>
      </c>
      <c r="B19">
        <v>1005</v>
      </c>
      <c r="C19">
        <f t="shared" si="4"/>
        <v>23660</v>
      </c>
      <c r="D19" s="2">
        <f t="shared" si="5"/>
        <v>1183</v>
      </c>
      <c r="E19" s="6">
        <f t="shared" si="1"/>
        <v>5915</v>
      </c>
      <c r="F19" s="8">
        <v>5</v>
      </c>
      <c r="G19" s="6">
        <v>450</v>
      </c>
      <c r="H19" s="6">
        <f t="shared" si="2"/>
        <v>2250</v>
      </c>
      <c r="I19" s="2">
        <v>1183</v>
      </c>
      <c r="J19" s="6">
        <f t="shared" si="3"/>
        <v>11830</v>
      </c>
      <c r="K19">
        <v>233890</v>
      </c>
      <c r="L19" s="9">
        <v>23389</v>
      </c>
      <c r="M19" s="9">
        <f>E19+H19+J19+L19</f>
        <v>43384</v>
      </c>
    </row>
    <row r="20" spans="1:13" x14ac:dyDescent="0.3">
      <c r="A20" s="1">
        <v>24</v>
      </c>
      <c r="B20">
        <v>1103</v>
      </c>
      <c r="C20">
        <f t="shared" si="4"/>
        <v>24763</v>
      </c>
      <c r="D20" s="2">
        <f t="shared" si="5"/>
        <v>1238.1500000000001</v>
      </c>
      <c r="E20" s="6">
        <f t="shared" si="1"/>
        <v>6190.75</v>
      </c>
      <c r="F20" s="8">
        <v>6</v>
      </c>
      <c r="G20" s="6">
        <v>450</v>
      </c>
      <c r="H20" s="6">
        <f t="shared" si="2"/>
        <v>2700</v>
      </c>
      <c r="I20" s="2">
        <v>1238</v>
      </c>
      <c r="J20" s="6">
        <f t="shared" si="3"/>
        <v>12380</v>
      </c>
      <c r="K20">
        <v>244920</v>
      </c>
      <c r="L20" s="9">
        <v>24492</v>
      </c>
      <c r="M20" s="9">
        <f>E20+H20+J20+L20</f>
        <v>45762.75</v>
      </c>
    </row>
  </sheetData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D0034-C50B-48C6-BEB5-FD85F1D128D3}">
  <dimension ref="A1:G25"/>
  <sheetViews>
    <sheetView tabSelected="1" zoomScale="70" zoomScaleNormal="70" workbookViewId="0">
      <selection activeCell="G32" sqref="G32"/>
    </sheetView>
  </sheetViews>
  <sheetFormatPr defaultRowHeight="14.4" x14ac:dyDescent="0.3"/>
  <cols>
    <col min="1" max="1" width="7" bestFit="1" customWidth="1"/>
    <col min="2" max="3" width="13" bestFit="1" customWidth="1"/>
    <col min="4" max="4" width="14.109375" bestFit="1" customWidth="1"/>
    <col min="6" max="6" width="16.6640625" bestFit="1" customWidth="1"/>
    <col min="7" max="7" width="13" bestFit="1" customWidth="1"/>
  </cols>
  <sheetData>
    <row r="1" spans="1:7" x14ac:dyDescent="0.3">
      <c r="A1" s="26" t="s">
        <v>4</v>
      </c>
      <c r="B1" s="26" t="s">
        <v>6</v>
      </c>
      <c r="C1" s="26" t="s">
        <v>5</v>
      </c>
      <c r="D1" s="26" t="s">
        <v>7</v>
      </c>
      <c r="F1" s="27" t="s">
        <v>47</v>
      </c>
      <c r="G1" s="28">
        <v>90000</v>
      </c>
    </row>
    <row r="2" spans="1:7" x14ac:dyDescent="0.3">
      <c r="A2">
        <v>1</v>
      </c>
      <c r="B2" s="47">
        <v>6650</v>
      </c>
      <c r="C2" s="47">
        <v>0</v>
      </c>
      <c r="D2" s="47">
        <f>G1-B2+C2</f>
        <v>83350</v>
      </c>
    </row>
    <row r="3" spans="1:7" x14ac:dyDescent="0.3">
      <c r="A3">
        <v>2</v>
      </c>
      <c r="B3" s="47">
        <v>6650</v>
      </c>
      <c r="C3" s="47">
        <v>0</v>
      </c>
      <c r="D3" s="47">
        <f t="shared" ref="D3:D25" si="0">D2-B3+C3</f>
        <v>76700</v>
      </c>
    </row>
    <row r="4" spans="1:7" x14ac:dyDescent="0.3">
      <c r="A4">
        <v>3</v>
      </c>
      <c r="B4" s="47">
        <v>6650</v>
      </c>
      <c r="C4" s="47">
        <v>0</v>
      </c>
      <c r="D4" s="47">
        <f t="shared" si="0"/>
        <v>70050</v>
      </c>
    </row>
    <row r="5" spans="1:7" x14ac:dyDescent="0.3">
      <c r="A5">
        <v>4</v>
      </c>
      <c r="B5" s="47">
        <v>6650</v>
      </c>
      <c r="C5" s="47">
        <v>0</v>
      </c>
      <c r="D5" s="47">
        <f t="shared" si="0"/>
        <v>63400</v>
      </c>
    </row>
    <row r="6" spans="1:7" x14ac:dyDescent="0.3">
      <c r="A6">
        <v>5</v>
      </c>
      <c r="B6" s="47">
        <v>6650</v>
      </c>
      <c r="C6" s="47">
        <v>0</v>
      </c>
      <c r="D6" s="47">
        <f t="shared" si="0"/>
        <v>56750</v>
      </c>
    </row>
    <row r="7" spans="1:7" x14ac:dyDescent="0.3">
      <c r="A7">
        <v>6</v>
      </c>
      <c r="B7" s="47">
        <v>6650</v>
      </c>
      <c r="C7" s="47">
        <v>0</v>
      </c>
      <c r="D7" s="47">
        <f>D6-B7+C7</f>
        <v>50100</v>
      </c>
    </row>
    <row r="8" spans="1:7" x14ac:dyDescent="0.3">
      <c r="A8">
        <v>7</v>
      </c>
      <c r="B8" s="47">
        <v>11370</v>
      </c>
      <c r="C8" s="47">
        <v>1000</v>
      </c>
      <c r="D8" s="47">
        <f t="shared" si="0"/>
        <v>39730</v>
      </c>
    </row>
    <row r="9" spans="1:7" x14ac:dyDescent="0.3">
      <c r="A9">
        <v>8</v>
      </c>
      <c r="B9" s="47">
        <v>11571.25</v>
      </c>
      <c r="C9" s="47">
        <v>2000</v>
      </c>
      <c r="D9" s="47">
        <f t="shared" si="0"/>
        <v>30158.75</v>
      </c>
    </row>
    <row r="10" spans="1:7" x14ac:dyDescent="0.3">
      <c r="A10">
        <v>9</v>
      </c>
      <c r="B10" s="47">
        <v>11622.5</v>
      </c>
      <c r="C10" s="47">
        <v>2790</v>
      </c>
      <c r="D10" s="47">
        <f t="shared" si="0"/>
        <v>21326.25</v>
      </c>
    </row>
    <row r="11" spans="1:7" x14ac:dyDescent="0.3">
      <c r="A11">
        <v>10</v>
      </c>
      <c r="B11" s="47">
        <v>11675.5</v>
      </c>
      <c r="C11" s="47">
        <v>4130</v>
      </c>
      <c r="D11" s="47">
        <f t="shared" si="0"/>
        <v>13780.75</v>
      </c>
    </row>
    <row r="12" spans="1:7" x14ac:dyDescent="0.3">
      <c r="A12">
        <v>11</v>
      </c>
      <c r="B12" s="47">
        <v>11650.5</v>
      </c>
      <c r="C12" s="47">
        <v>4900</v>
      </c>
      <c r="D12" s="47">
        <f t="shared" si="0"/>
        <v>7030.25</v>
      </c>
    </row>
    <row r="13" spans="1:7" x14ac:dyDescent="0.3">
      <c r="A13">
        <v>12</v>
      </c>
      <c r="B13" s="47">
        <v>11825.75</v>
      </c>
      <c r="C13" s="47">
        <v>5100</v>
      </c>
      <c r="D13" s="47">
        <f t="shared" si="0"/>
        <v>304.5</v>
      </c>
    </row>
    <row r="14" spans="1:7" x14ac:dyDescent="0.3">
      <c r="A14">
        <v>13</v>
      </c>
      <c r="B14" s="47">
        <v>13184</v>
      </c>
      <c r="C14" s="47">
        <v>19642.5</v>
      </c>
      <c r="D14" s="47">
        <f t="shared" si="0"/>
        <v>6763</v>
      </c>
    </row>
    <row r="15" spans="1:7" x14ac:dyDescent="0.3">
      <c r="A15">
        <v>14</v>
      </c>
      <c r="B15" s="47">
        <v>13020.75</v>
      </c>
      <c r="C15" s="47">
        <v>20501.25</v>
      </c>
      <c r="D15" s="47">
        <f t="shared" si="0"/>
        <v>14243.5</v>
      </c>
    </row>
    <row r="16" spans="1:7" x14ac:dyDescent="0.3">
      <c r="A16">
        <v>15</v>
      </c>
      <c r="B16" s="47">
        <v>13311.25</v>
      </c>
      <c r="C16" s="47">
        <v>23512.5</v>
      </c>
      <c r="D16" s="47">
        <f t="shared" si="0"/>
        <v>24444.75</v>
      </c>
    </row>
    <row r="17" spans="1:4" x14ac:dyDescent="0.3">
      <c r="A17">
        <v>16</v>
      </c>
      <c r="B17" s="47">
        <v>13467</v>
      </c>
      <c r="C17" s="47">
        <v>25942.5</v>
      </c>
      <c r="D17" s="47">
        <f t="shared" si="0"/>
        <v>36920.25</v>
      </c>
    </row>
    <row r="18" spans="1:4" x14ac:dyDescent="0.3">
      <c r="A18">
        <v>17</v>
      </c>
      <c r="B18" s="47">
        <v>13686.75</v>
      </c>
      <c r="C18" s="47">
        <v>29131.25</v>
      </c>
      <c r="D18" s="47">
        <f t="shared" si="0"/>
        <v>52364.75</v>
      </c>
    </row>
    <row r="19" spans="1:4" x14ac:dyDescent="0.3">
      <c r="A19">
        <v>18</v>
      </c>
      <c r="B19" s="47">
        <v>13812.5</v>
      </c>
      <c r="C19" s="47">
        <v>30970.75</v>
      </c>
      <c r="D19" s="47">
        <f t="shared" si="0"/>
        <v>69523</v>
      </c>
    </row>
    <row r="20" spans="1:4" x14ac:dyDescent="0.3">
      <c r="A20">
        <v>19</v>
      </c>
      <c r="B20" s="47">
        <v>13923</v>
      </c>
      <c r="C20" s="47">
        <v>33611.75</v>
      </c>
      <c r="D20" s="47">
        <f t="shared" si="0"/>
        <v>89211.75</v>
      </c>
    </row>
    <row r="21" spans="1:4" x14ac:dyDescent="0.3">
      <c r="A21">
        <v>20</v>
      </c>
      <c r="B21" s="47">
        <v>14007.25</v>
      </c>
      <c r="C21" s="47">
        <v>36342</v>
      </c>
      <c r="D21" s="47">
        <f t="shared" si="0"/>
        <v>111546.5</v>
      </c>
    </row>
    <row r="22" spans="1:4" x14ac:dyDescent="0.3">
      <c r="A22">
        <v>21</v>
      </c>
      <c r="B22" s="47">
        <v>14327</v>
      </c>
      <c r="C22" s="47">
        <v>38989</v>
      </c>
      <c r="D22" s="47">
        <f t="shared" si="0"/>
        <v>136208.5</v>
      </c>
    </row>
    <row r="23" spans="1:4" x14ac:dyDescent="0.3">
      <c r="A23">
        <v>22</v>
      </c>
      <c r="B23" s="47">
        <v>14314.75</v>
      </c>
      <c r="C23" s="47">
        <v>41177.75</v>
      </c>
      <c r="D23" s="47">
        <f t="shared" si="0"/>
        <v>163071.5</v>
      </c>
    </row>
    <row r="24" spans="1:4" x14ac:dyDescent="0.3">
      <c r="A24">
        <v>23</v>
      </c>
      <c r="B24" s="47">
        <v>14354.25</v>
      </c>
      <c r="C24" s="47">
        <v>43384</v>
      </c>
      <c r="D24" s="47">
        <f t="shared" si="0"/>
        <v>192101.25</v>
      </c>
    </row>
    <row r="25" spans="1:4" x14ac:dyDescent="0.3">
      <c r="A25">
        <v>24</v>
      </c>
      <c r="B25" s="47">
        <v>14488.75</v>
      </c>
      <c r="C25" s="47">
        <v>45762.75</v>
      </c>
      <c r="D25" s="47">
        <f t="shared" si="0"/>
        <v>223375.25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expense</vt:lpstr>
      <vt:lpstr>revenue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Zemfira Karimova</dc:creator>
  <cp:lastModifiedBy>Zemfira Karimova</cp:lastModifiedBy>
  <dcterms:created xsi:type="dcterms:W3CDTF">2025-03-06T15:22:45Z</dcterms:created>
  <dcterms:modified xsi:type="dcterms:W3CDTF">2025-04-25T23:18:42Z</dcterms:modified>
</cp:coreProperties>
</file>